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Manuscript ID</t>
        </is>
      </c>
      <c r="B1" s="1" t="inlineStr">
        <is>
          <t>Title</t>
        </is>
      </c>
      <c r="C1" s="1" t="inlineStr">
        <is>
          <t>Target Venue</t>
        </is>
      </c>
      <c r="D1" s="1" t="inlineStr">
        <is>
          <t>Submission Date</t>
        </is>
      </c>
      <c r="E1" s="1" t="inlineStr">
        <is>
          <t>Decision Date</t>
        </is>
      </c>
      <c r="F1" s="1" t="inlineStr">
        <is>
          <t>Status</t>
        </is>
      </c>
      <c r="G1" s="1" t="inlineStr">
        <is>
          <t>Revision Round</t>
        </is>
      </c>
      <c r="H1" s="1" t="inlineStr">
        <is>
          <t>Acceptance Probability %</t>
        </is>
      </c>
      <c r="I1" s="1" t="inlineStr">
        <is>
          <t>Days to Decision</t>
        </is>
      </c>
      <c r="K1" t="inlineStr">
        <is>
          <t>Acceptance Rate</t>
        </is>
      </c>
      <c r="L1" t="inlineStr">
        <is>
          <t>Active Papers</t>
        </is>
      </c>
    </row>
    <row r="2">
      <c r="A2" t="inlineStr">
        <is>
          <t>PUB-101</t>
        </is>
      </c>
      <c r="B2" t="inlineStr">
        <is>
          <t>Efficient Multimodal Fusion</t>
        </is>
      </c>
      <c r="C2" t="inlineStr">
        <is>
          <t>IEEE TNNLS</t>
        </is>
      </c>
      <c r="D2" t="inlineStr">
        <is>
          <t>2026-02-10</t>
        </is>
      </c>
      <c r="E2" t="inlineStr">
        <is>
          <t>2026-04-21</t>
        </is>
      </c>
      <c r="F2" t="inlineStr">
        <is>
          <t>Major Revision</t>
        </is>
      </c>
      <c r="G2" t="n">
        <v>1</v>
      </c>
      <c r="H2" t="n">
        <v>62</v>
      </c>
      <c r="I2">
        <f>E2-D2</f>
        <v/>
      </c>
      <c r="K2">
        <f>COUNTIF(F2:F500,"Accepted")/COUNTA(A2:A500)</f>
        <v/>
      </c>
      <c r="L2">
        <f>COUNTIF(F2:F500,"Under Review")+COUNTIF(F2:F500,"Major Revision")+COUNTIF(F2:F500,"Minor Revision")</f>
        <v/>
      </c>
    </row>
    <row r="3">
      <c r="A3" t="inlineStr">
        <is>
          <t>PUB-102</t>
        </is>
      </c>
      <c r="B3" t="inlineStr">
        <is>
          <t>Benchmarking Continual Models</t>
        </is>
      </c>
      <c r="C3" t="inlineStr">
        <is>
          <t>NeurIPS</t>
        </is>
      </c>
      <c r="D3" t="inlineStr">
        <is>
          <t>2026-03-02</t>
        </is>
      </c>
      <c r="E3" t="inlineStr">
        <is>
          <t>2026-05-15</t>
        </is>
      </c>
      <c r="F3" t="inlineStr">
        <is>
          <t>Under Review</t>
        </is>
      </c>
      <c r="G3" t="n">
        <v>0</v>
      </c>
      <c r="H3" t="n">
        <v>55</v>
      </c>
      <c r="I3">
        <f>E3-D3</f>
        <v/>
      </c>
    </row>
    <row r="4">
      <c r="A4" t="inlineStr">
        <is>
          <t>PUB-103</t>
        </is>
      </c>
      <c r="B4" t="inlineStr">
        <is>
          <t>Causal Inference in Sensor Streams</t>
        </is>
      </c>
      <c r="C4" t="inlineStr">
        <is>
          <t>Nature Communications</t>
        </is>
      </c>
      <c r="D4" t="inlineStr">
        <is>
          <t>2026-01-18</t>
        </is>
      </c>
      <c r="E4" t="inlineStr">
        <is>
          <t>2026-03-20</t>
        </is>
      </c>
      <c r="F4" t="inlineStr">
        <is>
          <t>Rejected</t>
        </is>
      </c>
      <c r="G4" t="n">
        <v>0</v>
      </c>
      <c r="H4" t="n">
        <v>25</v>
      </c>
      <c r="I4">
        <f>E4-D4</f>
        <v/>
      </c>
    </row>
    <row r="5">
      <c r="A5" t="inlineStr">
        <is>
          <t>PUB-104</t>
        </is>
      </c>
      <c r="B5" t="inlineStr">
        <is>
          <t>Interpretable Clinical Forecasting</t>
        </is>
      </c>
      <c r="C5" t="inlineStr">
        <is>
          <t>AAAI</t>
        </is>
      </c>
      <c r="D5" t="inlineStr">
        <is>
          <t>2026-02-25</t>
        </is>
      </c>
      <c r="E5" t="inlineStr">
        <is>
          <t>2026-04-10</t>
        </is>
      </c>
      <c r="F5" t="inlineStr">
        <is>
          <t>Accepted</t>
        </is>
      </c>
      <c r="G5" t="n">
        <v>2</v>
      </c>
      <c r="H5" t="n">
        <v>88</v>
      </c>
      <c r="I5">
        <f>E5-D5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2026-08-01T03:23:36Z</dcterms:created>
  <dcterms:modified xmlns:dcterms="http://purl.org/dc/terms/" xmlns:xsi="http://www.w3.org/2001/XMLSchema-instance" xsi:type="dcterms:W3CDTF">2026-08-01T03:23:36Z</dcterms:modified>
</cp:coreProperties>
</file>